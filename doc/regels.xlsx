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ol\COOLbackend\doc\"/>
    </mc:Choice>
  </mc:AlternateContent>
  <xr:revisionPtr revIDLastSave="0" documentId="13_ncr:1_{6DEDD232-B3C3-409F-A37E-98A571C9393B}" xr6:coauthVersionLast="47" xr6:coauthVersionMax="47" xr10:uidLastSave="{00000000-0000-0000-0000-000000000000}"/>
  <bookViews>
    <workbookView xWindow="-98" yWindow="-98" windowWidth="19396" windowHeight="11475" xr2:uid="{55F92E86-A93A-45F8-82E9-A9C823D47708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1" i="1" l="1"/>
  <c r="E59" i="1"/>
  <c r="E62" i="1" s="1"/>
  <c r="E15" i="1"/>
  <c r="B15" i="1"/>
  <c r="B59" i="1"/>
  <c r="B10" i="1"/>
  <c r="B13" i="1" s="1"/>
  <c r="B61" i="1" l="1"/>
  <c r="B62" i="1"/>
  <c r="C59" i="1" l="1"/>
  <c r="C50" i="1"/>
  <c r="C62" i="1"/>
  <c r="C42" i="1"/>
  <c r="C26" i="1"/>
  <c r="C8" i="1"/>
  <c r="C41" i="1"/>
  <c r="C40" i="1"/>
  <c r="C24" i="1"/>
  <c r="C38" i="1"/>
  <c r="C22" i="1"/>
  <c r="C21" i="1"/>
  <c r="C3" i="1"/>
  <c r="C20" i="1"/>
  <c r="C35" i="1"/>
  <c r="C33" i="1"/>
  <c r="C31" i="1"/>
  <c r="C30" i="1"/>
  <c r="C58" i="1"/>
  <c r="C57" i="1"/>
  <c r="C56" i="1"/>
  <c r="C55" i="1"/>
  <c r="C54" i="1"/>
  <c r="C53" i="1"/>
  <c r="C52" i="1"/>
  <c r="C51" i="1"/>
  <c r="C49" i="1"/>
  <c r="C48" i="1"/>
  <c r="C32" i="1"/>
  <c r="C16" i="1"/>
  <c r="C47" i="1"/>
  <c r="C46" i="1"/>
  <c r="C45" i="1"/>
  <c r="C29" i="1"/>
  <c r="C11" i="1"/>
  <c r="C28" i="1"/>
  <c r="C39" i="1"/>
  <c r="C5" i="1"/>
  <c r="C37" i="1"/>
  <c r="C36" i="1"/>
  <c r="C2" i="1"/>
  <c r="C34" i="1"/>
  <c r="C17" i="1"/>
  <c r="C44" i="1"/>
  <c r="C43" i="1"/>
  <c r="C27" i="1"/>
  <c r="C9" i="1"/>
  <c r="C25" i="1"/>
  <c r="C7" i="1"/>
  <c r="C6" i="1"/>
  <c r="C23" i="1"/>
  <c r="C4" i="1"/>
  <c r="C19" i="1"/>
  <c r="C18" i="1"/>
  <c r="C12" i="1"/>
  <c r="C10" i="1"/>
  <c r="C13" i="1"/>
</calcChain>
</file>

<file path=xl/sharedStrings.xml><?xml version="1.0" encoding="utf-8"?>
<sst xmlns="http://schemas.openxmlformats.org/spreadsheetml/2006/main" count="61" uniqueCount="58">
  <si>
    <t>Server</t>
  </si>
  <si>
    <t xml:space="preserve">gebruiker.js </t>
  </si>
  <si>
    <t>regels</t>
  </si>
  <si>
    <t>mutatie.js</t>
  </si>
  <si>
    <t>persoon.js</t>
  </si>
  <si>
    <t>rating.js</t>
  </si>
  <si>
    <t>ronde.js</t>
  </si>
  <si>
    <t>speler.js</t>
  </si>
  <si>
    <t>team.js</t>
  </si>
  <si>
    <t>uitslag.js</t>
  </si>
  <si>
    <t>db.cjs</t>
  </si>
  <si>
    <t>api.js</t>
  </si>
  <si>
    <t>app.js</t>
  </si>
  <si>
    <t>Browser</t>
  </si>
  <si>
    <t>o_o_o_.css</t>
  </si>
  <si>
    <t>aanmelden.html</t>
  </si>
  <si>
    <t>agenda.html</t>
  </si>
  <si>
    <t>beheer.html</t>
  </si>
  <si>
    <t>bestuur.html</t>
  </si>
  <si>
    <t>email.html</t>
  </si>
  <si>
    <t>indelen.html</t>
  </si>
  <si>
    <t>index.html</t>
  </si>
  <si>
    <t>lid.html</t>
  </si>
  <si>
    <t>localhost.html</t>
  </si>
  <si>
    <t>paren.html</t>
  </si>
  <si>
    <t>pvdiepen.html</t>
  </si>
  <si>
    <t>ranglijst.html</t>
  </si>
  <si>
    <t>ronde.html</t>
  </si>
  <si>
    <t>rondenlijst.html</t>
  </si>
  <si>
    <t>speler.html</t>
  </si>
  <si>
    <t>start.html</t>
  </si>
  <si>
    <t>team.html</t>
  </si>
  <si>
    <t>teamleider.html</t>
  </si>
  <si>
    <t>test.html</t>
  </si>
  <si>
    <t>aanmelden.js</t>
  </si>
  <si>
    <t>agenda.js</t>
  </si>
  <si>
    <t>beheer.js</t>
  </si>
  <si>
    <t>bestuur.js</t>
  </si>
  <si>
    <t>email.js</t>
  </si>
  <si>
    <t>indelen.js</t>
  </si>
  <si>
    <t>lid.js</t>
  </si>
  <si>
    <t>o_o_o_.js</t>
  </si>
  <si>
    <t>paren.js</t>
  </si>
  <si>
    <t>ranglijst.js</t>
  </si>
  <si>
    <t>rondenlijst.js</t>
  </si>
  <si>
    <t>start.js</t>
  </si>
  <si>
    <t>teamleider.js</t>
  </si>
  <si>
    <t>test.js</t>
  </si>
  <si>
    <t>db.js</t>
  </si>
  <si>
    <t>html.js</t>
  </si>
  <si>
    <t>reglement.js</t>
  </si>
  <si>
    <t>zwitsers.js</t>
  </si>
  <si>
    <t>zyq.js</t>
  </si>
  <si>
    <t>server</t>
  </si>
  <si>
    <t>server + browser</t>
  </si>
  <si>
    <t>api-endpoints</t>
  </si>
  <si>
    <t>server.js</t>
  </si>
  <si>
    <t>0.8.67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</si>
</sst>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ck">
        <color indexed="64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1" xfId="0" applyBorder="1"/>
    <xf numFmtId="164" fontId="0" fillId="0" borderId="0" xfId="0" applyNumberFormat="1"/>
    <xf numFmtId="0" fontId="0" fillId="0" borderId="0" xfId="0" applyAlignment="1">
      <alignment horizontal="right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BBC20-915C-4A99-933E-A413CC83A31C}">
  <dimension ref="A1:E64"/>
  <sheetViews>
    <sheetView tabSelected="1" topLeftCell="A51" workbookViewId="0">
      <selection activeCell="E2" sqref="E1:E1048576"/>
    </sheetView>
  </sheetViews>
  <sheetFormatPr defaultRowHeight="14.25" x14ac:dyDescent="0.45"/>
  <cols>
    <col min="1" max="1" width="15" customWidth="1"/>
    <col min="2" max="2" width="6.59765625" customWidth="1"/>
    <col min="3" max="3" width="7.53125" customWidth="1"/>
    <col min="4" max="4" width="3.06640625" customWidth="1"/>
    <col min="5" max="5" width="6.59765625" customWidth="1"/>
  </cols>
  <sheetData>
    <row r="1" spans="1:5" ht="21" x14ac:dyDescent="0.65">
      <c r="A1" s="1" t="s">
        <v>0</v>
      </c>
      <c r="B1" s="4" t="s">
        <v>2</v>
      </c>
      <c r="E1" s="4" t="s">
        <v>57</v>
      </c>
    </row>
    <row r="2" spans="1:5" x14ac:dyDescent="0.45">
      <c r="A2" t="s">
        <v>1</v>
      </c>
      <c r="B2">
        <v>11</v>
      </c>
      <c r="C2" s="3">
        <f t="shared" ref="C2:C58" si="0">ROUND(B2/B$62,3)</f>
        <v>1E-3</v>
      </c>
      <c r="D2" s="3"/>
    </row>
    <row r="3" spans="1:5" x14ac:dyDescent="0.45">
      <c r="A3" t="s">
        <v>3</v>
      </c>
      <c r="B3">
        <v>11</v>
      </c>
      <c r="C3" s="3">
        <f t="shared" si="0"/>
        <v>1E-3</v>
      </c>
      <c r="D3" s="3"/>
    </row>
    <row r="4" spans="1:5" x14ac:dyDescent="0.45">
      <c r="A4" t="s">
        <v>4</v>
      </c>
      <c r="B4">
        <v>11</v>
      </c>
      <c r="C4" s="3">
        <f t="shared" si="0"/>
        <v>1E-3</v>
      </c>
      <c r="D4" s="3"/>
    </row>
    <row r="5" spans="1:5" x14ac:dyDescent="0.45">
      <c r="A5" t="s">
        <v>5</v>
      </c>
      <c r="B5">
        <v>11</v>
      </c>
      <c r="C5" s="3">
        <f t="shared" si="0"/>
        <v>1E-3</v>
      </c>
      <c r="D5" s="3"/>
    </row>
    <row r="6" spans="1:5" x14ac:dyDescent="0.45">
      <c r="A6" t="s">
        <v>6</v>
      </c>
      <c r="B6">
        <v>11</v>
      </c>
      <c r="C6" s="3">
        <f t="shared" si="0"/>
        <v>1E-3</v>
      </c>
      <c r="D6" s="3"/>
    </row>
    <row r="7" spans="1:5" x14ac:dyDescent="0.45">
      <c r="A7" t="s">
        <v>7</v>
      </c>
      <c r="B7">
        <v>11</v>
      </c>
      <c r="C7" s="3">
        <f t="shared" si="0"/>
        <v>1E-3</v>
      </c>
      <c r="D7" s="3"/>
    </row>
    <row r="8" spans="1:5" x14ac:dyDescent="0.45">
      <c r="A8" t="s">
        <v>8</v>
      </c>
      <c r="B8">
        <v>11</v>
      </c>
      <c r="C8" s="3">
        <f t="shared" si="0"/>
        <v>1E-3</v>
      </c>
      <c r="D8" s="3"/>
    </row>
    <row r="9" spans="1:5" x14ac:dyDescent="0.45">
      <c r="A9" t="s">
        <v>9</v>
      </c>
      <c r="B9">
        <v>11</v>
      </c>
      <c r="C9" s="3">
        <f t="shared" si="0"/>
        <v>1E-3</v>
      </c>
      <c r="D9" s="3"/>
    </row>
    <row r="10" spans="1:5" x14ac:dyDescent="0.45">
      <c r="A10" t="s">
        <v>10</v>
      </c>
      <c r="B10">
        <f>B40</f>
        <v>892</v>
      </c>
      <c r="C10" s="3">
        <f t="shared" si="0"/>
        <v>0.10100000000000001</v>
      </c>
      <c r="D10" s="3"/>
    </row>
    <row r="11" spans="1:5" x14ac:dyDescent="0.45">
      <c r="A11" t="s">
        <v>11</v>
      </c>
      <c r="B11">
        <v>1751</v>
      </c>
      <c r="C11" s="3">
        <f t="shared" si="0"/>
        <v>0.19900000000000001</v>
      </c>
      <c r="D11" s="3"/>
    </row>
    <row r="12" spans="1:5" ht="14.65" thickBot="1" x14ac:dyDescent="0.5">
      <c r="A12" t="s">
        <v>12</v>
      </c>
      <c r="B12">
        <v>37</v>
      </c>
      <c r="C12" s="3">
        <f t="shared" si="0"/>
        <v>4.0000000000000001E-3</v>
      </c>
      <c r="D12" s="3"/>
    </row>
    <row r="13" spans="1:5" ht="14.65" thickTop="1" x14ac:dyDescent="0.45">
      <c r="B13" s="2">
        <f>SUM(B2:B12)</f>
        <v>2768</v>
      </c>
      <c r="C13" s="3">
        <f t="shared" si="0"/>
        <v>0.315</v>
      </c>
      <c r="D13" s="3"/>
    </row>
    <row r="14" spans="1:5" x14ac:dyDescent="0.45">
      <c r="C14" s="3"/>
      <c r="D14" s="3"/>
    </row>
    <row r="15" spans="1:5" ht="21" x14ac:dyDescent="0.65">
      <c r="A15" s="1" t="s">
        <v>13</v>
      </c>
      <c r="B15" s="4" t="str">
        <f>B1</f>
        <v>regels</v>
      </c>
      <c r="C15" s="3"/>
      <c r="D15" s="3"/>
      <c r="E15" s="4" t="str">
        <f>E1</f>
        <v>0.8.67</v>
      </c>
    </row>
    <row r="16" spans="1:5" x14ac:dyDescent="0.45">
      <c r="A16" t="s">
        <v>15</v>
      </c>
      <c r="B16">
        <v>41</v>
      </c>
      <c r="C16" s="3">
        <f t="shared" si="0"/>
        <v>5.0000000000000001E-3</v>
      </c>
      <c r="D16" s="3"/>
    </row>
    <row r="17" spans="1:4" x14ac:dyDescent="0.45">
      <c r="A17" t="s">
        <v>16</v>
      </c>
      <c r="B17">
        <v>32</v>
      </c>
      <c r="C17" s="3">
        <f t="shared" si="0"/>
        <v>4.0000000000000001E-3</v>
      </c>
      <c r="D17" s="3"/>
    </row>
    <row r="18" spans="1:4" x14ac:dyDescent="0.45">
      <c r="A18" t="s">
        <v>17</v>
      </c>
      <c r="B18">
        <v>34</v>
      </c>
      <c r="C18" s="3">
        <f t="shared" si="0"/>
        <v>4.0000000000000001E-3</v>
      </c>
      <c r="D18" s="3"/>
    </row>
    <row r="19" spans="1:4" x14ac:dyDescent="0.45">
      <c r="A19" t="s">
        <v>18</v>
      </c>
      <c r="B19">
        <v>65</v>
      </c>
      <c r="C19" s="3">
        <f t="shared" si="0"/>
        <v>7.0000000000000001E-3</v>
      </c>
      <c r="D19" s="3"/>
    </row>
    <row r="20" spans="1:4" x14ac:dyDescent="0.45">
      <c r="A20" t="s">
        <v>19</v>
      </c>
      <c r="B20">
        <v>47</v>
      </c>
      <c r="C20" s="3">
        <f t="shared" si="0"/>
        <v>5.0000000000000001E-3</v>
      </c>
      <c r="D20" s="3"/>
    </row>
    <row r="21" spans="1:4" x14ac:dyDescent="0.45">
      <c r="A21" t="s">
        <v>20</v>
      </c>
      <c r="B21">
        <v>63</v>
      </c>
      <c r="C21" s="3">
        <f t="shared" si="0"/>
        <v>7.0000000000000001E-3</v>
      </c>
      <c r="D21" s="3"/>
    </row>
    <row r="22" spans="1:4" x14ac:dyDescent="0.45">
      <c r="A22" t="s">
        <v>21</v>
      </c>
      <c r="B22">
        <v>40</v>
      </c>
      <c r="C22" s="3">
        <f t="shared" si="0"/>
        <v>5.0000000000000001E-3</v>
      </c>
      <c r="D22" s="3"/>
    </row>
    <row r="23" spans="1:4" x14ac:dyDescent="0.45">
      <c r="A23" t="s">
        <v>22</v>
      </c>
      <c r="B23">
        <v>37</v>
      </c>
      <c r="C23" s="3">
        <f t="shared" si="0"/>
        <v>4.0000000000000001E-3</v>
      </c>
      <c r="D23" s="3"/>
    </row>
    <row r="24" spans="1:4" x14ac:dyDescent="0.45">
      <c r="A24" t="s">
        <v>23</v>
      </c>
      <c r="B24">
        <v>53</v>
      </c>
      <c r="C24" s="3">
        <f t="shared" si="0"/>
        <v>6.0000000000000001E-3</v>
      </c>
      <c r="D24" s="3"/>
    </row>
    <row r="25" spans="1:4" x14ac:dyDescent="0.45">
      <c r="A25" t="s">
        <v>24</v>
      </c>
      <c r="B25">
        <v>23</v>
      </c>
      <c r="C25" s="3">
        <f t="shared" si="0"/>
        <v>3.0000000000000001E-3</v>
      </c>
      <c r="D25" s="3"/>
    </row>
    <row r="26" spans="1:4" x14ac:dyDescent="0.45">
      <c r="A26" t="s">
        <v>25</v>
      </c>
      <c r="B26">
        <v>36</v>
      </c>
      <c r="C26" s="3">
        <f t="shared" si="0"/>
        <v>4.0000000000000001E-3</v>
      </c>
      <c r="D26" s="3"/>
    </row>
    <row r="27" spans="1:4" x14ac:dyDescent="0.45">
      <c r="A27" t="s">
        <v>26</v>
      </c>
      <c r="B27">
        <v>72</v>
      </c>
      <c r="C27" s="3">
        <f t="shared" si="0"/>
        <v>8.0000000000000002E-3</v>
      </c>
      <c r="D27" s="3"/>
    </row>
    <row r="28" spans="1:4" x14ac:dyDescent="0.45">
      <c r="A28" t="s">
        <v>27</v>
      </c>
      <c r="B28">
        <v>32</v>
      </c>
      <c r="C28" s="3">
        <f t="shared" si="0"/>
        <v>4.0000000000000001E-3</v>
      </c>
      <c r="D28" s="3"/>
    </row>
    <row r="29" spans="1:4" x14ac:dyDescent="0.45">
      <c r="A29" t="s">
        <v>28</v>
      </c>
      <c r="B29">
        <v>27</v>
      </c>
      <c r="C29" s="3">
        <f t="shared" si="0"/>
        <v>3.0000000000000001E-3</v>
      </c>
      <c r="D29" s="3"/>
    </row>
    <row r="30" spans="1:4" x14ac:dyDescent="0.45">
      <c r="A30" t="s">
        <v>29</v>
      </c>
      <c r="B30">
        <v>48</v>
      </c>
      <c r="C30" s="3">
        <f t="shared" si="0"/>
        <v>5.0000000000000001E-3</v>
      </c>
      <c r="D30" s="3"/>
    </row>
    <row r="31" spans="1:4" x14ac:dyDescent="0.45">
      <c r="A31" t="s">
        <v>30</v>
      </c>
      <c r="B31">
        <v>24</v>
      </c>
      <c r="C31" s="3">
        <f t="shared" si="0"/>
        <v>3.0000000000000001E-3</v>
      </c>
      <c r="D31" s="3"/>
    </row>
    <row r="32" spans="1:4" x14ac:dyDescent="0.45">
      <c r="A32" t="s">
        <v>31</v>
      </c>
      <c r="B32">
        <v>37</v>
      </c>
      <c r="C32" s="3">
        <f t="shared" si="0"/>
        <v>4.0000000000000001E-3</v>
      </c>
      <c r="D32" s="3"/>
    </row>
    <row r="33" spans="1:4" x14ac:dyDescent="0.45">
      <c r="A33" t="s">
        <v>32</v>
      </c>
      <c r="B33">
        <v>61</v>
      </c>
      <c r="C33" s="3">
        <f t="shared" si="0"/>
        <v>7.0000000000000001E-3</v>
      </c>
      <c r="D33" s="3"/>
    </row>
    <row r="34" spans="1:4" x14ac:dyDescent="0.45">
      <c r="A34" t="s">
        <v>33</v>
      </c>
      <c r="B34">
        <v>15</v>
      </c>
      <c r="C34" s="3">
        <f t="shared" si="0"/>
        <v>2E-3</v>
      </c>
      <c r="D34" s="3"/>
    </row>
    <row r="35" spans="1:4" x14ac:dyDescent="0.45">
      <c r="A35" t="s">
        <v>14</v>
      </c>
      <c r="B35">
        <v>148</v>
      </c>
      <c r="C35" s="3">
        <f t="shared" si="0"/>
        <v>1.7000000000000001E-2</v>
      </c>
      <c r="D35" s="3"/>
    </row>
    <row r="36" spans="1:4" x14ac:dyDescent="0.45">
      <c r="A36" t="s">
        <v>34</v>
      </c>
      <c r="B36">
        <v>176</v>
      </c>
      <c r="C36" s="3">
        <f t="shared" si="0"/>
        <v>0.02</v>
      </c>
      <c r="D36" s="3"/>
    </row>
    <row r="37" spans="1:4" x14ac:dyDescent="0.45">
      <c r="A37" t="s">
        <v>35</v>
      </c>
      <c r="B37">
        <v>123</v>
      </c>
      <c r="C37" s="3">
        <f t="shared" si="0"/>
        <v>1.4E-2</v>
      </c>
      <c r="D37" s="3"/>
    </row>
    <row r="38" spans="1:4" x14ac:dyDescent="0.45">
      <c r="A38" t="s">
        <v>36</v>
      </c>
      <c r="B38">
        <v>78</v>
      </c>
      <c r="C38" s="3">
        <f t="shared" si="0"/>
        <v>8.9999999999999993E-3</v>
      </c>
      <c r="D38" s="3"/>
    </row>
    <row r="39" spans="1:4" x14ac:dyDescent="0.45">
      <c r="A39" t="s">
        <v>37</v>
      </c>
      <c r="B39">
        <v>204</v>
      </c>
      <c r="C39" s="3">
        <f t="shared" si="0"/>
        <v>2.3E-2</v>
      </c>
      <c r="D39" s="3"/>
    </row>
    <row r="40" spans="1:4" x14ac:dyDescent="0.45">
      <c r="A40" t="s">
        <v>48</v>
      </c>
      <c r="B40">
        <v>892</v>
      </c>
      <c r="C40" s="3">
        <f t="shared" si="0"/>
        <v>0.10100000000000001</v>
      </c>
      <c r="D40" s="3"/>
    </row>
    <row r="41" spans="1:4" x14ac:dyDescent="0.45">
      <c r="A41" t="s">
        <v>38</v>
      </c>
      <c r="B41">
        <v>30</v>
      </c>
      <c r="C41" s="3">
        <f t="shared" si="0"/>
        <v>3.0000000000000001E-3</v>
      </c>
      <c r="D41" s="3"/>
    </row>
    <row r="42" spans="1:4" x14ac:dyDescent="0.45">
      <c r="A42" t="s">
        <v>49</v>
      </c>
      <c r="B42">
        <v>212</v>
      </c>
      <c r="C42" s="3">
        <f t="shared" si="0"/>
        <v>2.4E-2</v>
      </c>
      <c r="D42" s="3"/>
    </row>
    <row r="43" spans="1:4" x14ac:dyDescent="0.45">
      <c r="A43" t="s">
        <v>39</v>
      </c>
      <c r="B43">
        <v>440</v>
      </c>
      <c r="C43" s="3">
        <f t="shared" si="0"/>
        <v>0.05</v>
      </c>
      <c r="D43" s="3"/>
    </row>
    <row r="44" spans="1:4" x14ac:dyDescent="0.45">
      <c r="A44" t="s">
        <v>40</v>
      </c>
      <c r="B44">
        <v>172</v>
      </c>
      <c r="C44" s="3">
        <f t="shared" si="0"/>
        <v>0.02</v>
      </c>
      <c r="D44" s="3"/>
    </row>
    <row r="45" spans="1:4" x14ac:dyDescent="0.45">
      <c r="A45" t="s">
        <v>41</v>
      </c>
      <c r="B45">
        <v>288</v>
      </c>
      <c r="C45" s="3">
        <f t="shared" si="0"/>
        <v>3.3000000000000002E-2</v>
      </c>
      <c r="D45" s="3"/>
    </row>
    <row r="46" spans="1:4" x14ac:dyDescent="0.45">
      <c r="A46" t="s">
        <v>42</v>
      </c>
      <c r="B46">
        <v>182</v>
      </c>
      <c r="C46" s="3">
        <f t="shared" si="0"/>
        <v>2.1000000000000001E-2</v>
      </c>
      <c r="D46" s="3"/>
    </row>
    <row r="47" spans="1:4" x14ac:dyDescent="0.45">
      <c r="A47" t="s">
        <v>43</v>
      </c>
      <c r="B47">
        <v>109</v>
      </c>
      <c r="C47" s="3">
        <f t="shared" si="0"/>
        <v>1.2E-2</v>
      </c>
      <c r="D47" s="3"/>
    </row>
    <row r="48" spans="1:4" x14ac:dyDescent="0.45">
      <c r="A48" t="s">
        <v>50</v>
      </c>
      <c r="B48">
        <v>359</v>
      </c>
      <c r="C48" s="3">
        <f t="shared" si="0"/>
        <v>4.1000000000000002E-2</v>
      </c>
      <c r="D48" s="3"/>
    </row>
    <row r="49" spans="1:5" x14ac:dyDescent="0.45">
      <c r="A49" t="s">
        <v>6</v>
      </c>
      <c r="B49">
        <v>105</v>
      </c>
      <c r="C49" s="3">
        <f t="shared" si="0"/>
        <v>1.2E-2</v>
      </c>
      <c r="D49" s="3"/>
    </row>
    <row r="50" spans="1:5" x14ac:dyDescent="0.45">
      <c r="A50" t="s">
        <v>56</v>
      </c>
      <c r="B50">
        <v>162</v>
      </c>
      <c r="C50" s="3">
        <f t="shared" si="0"/>
        <v>1.7999999999999999E-2</v>
      </c>
      <c r="D50" s="3"/>
    </row>
    <row r="51" spans="1:5" x14ac:dyDescent="0.45">
      <c r="A51" t="s">
        <v>44</v>
      </c>
      <c r="B51">
        <v>56</v>
      </c>
      <c r="C51" s="3">
        <f t="shared" si="0"/>
        <v>6.0000000000000001E-3</v>
      </c>
      <c r="D51" s="3"/>
    </row>
    <row r="52" spans="1:5" x14ac:dyDescent="0.45">
      <c r="A52" t="s">
        <v>7</v>
      </c>
      <c r="B52">
        <v>157</v>
      </c>
      <c r="C52" s="3">
        <f t="shared" si="0"/>
        <v>1.7999999999999999E-2</v>
      </c>
      <c r="D52" s="3"/>
    </row>
    <row r="53" spans="1:5" x14ac:dyDescent="0.45">
      <c r="A53" t="s">
        <v>45</v>
      </c>
      <c r="B53">
        <v>76</v>
      </c>
      <c r="C53" s="3">
        <f t="shared" si="0"/>
        <v>8.9999999999999993E-3</v>
      </c>
      <c r="D53" s="3"/>
    </row>
    <row r="54" spans="1:5" x14ac:dyDescent="0.45">
      <c r="A54" t="s">
        <v>8</v>
      </c>
      <c r="B54">
        <v>54</v>
      </c>
      <c r="C54" s="3">
        <f t="shared" si="0"/>
        <v>6.0000000000000001E-3</v>
      </c>
      <c r="D54" s="3"/>
    </row>
    <row r="55" spans="1:5" x14ac:dyDescent="0.45">
      <c r="A55" t="s">
        <v>46</v>
      </c>
      <c r="B55">
        <v>217</v>
      </c>
      <c r="C55" s="3">
        <f t="shared" si="0"/>
        <v>2.5000000000000001E-2</v>
      </c>
      <c r="D55" s="3"/>
    </row>
    <row r="56" spans="1:5" x14ac:dyDescent="0.45">
      <c r="A56" t="s">
        <v>47</v>
      </c>
      <c r="B56">
        <v>21</v>
      </c>
      <c r="C56" s="3">
        <f t="shared" si="0"/>
        <v>2E-3</v>
      </c>
      <c r="D56" s="3"/>
    </row>
    <row r="57" spans="1:5" x14ac:dyDescent="0.45">
      <c r="A57" t="s">
        <v>51</v>
      </c>
      <c r="B57">
        <v>682</v>
      </c>
      <c r="C57" s="3">
        <f t="shared" si="0"/>
        <v>7.8E-2</v>
      </c>
      <c r="D57" s="3"/>
    </row>
    <row r="58" spans="1:5" ht="14.65" thickBot="1" x14ac:dyDescent="0.5">
      <c r="A58" t="s">
        <v>52</v>
      </c>
      <c r="B58">
        <v>301</v>
      </c>
      <c r="C58" s="3">
        <f t="shared" si="0"/>
        <v>3.4000000000000002E-2</v>
      </c>
      <c r="D58" s="3"/>
    </row>
    <row r="59" spans="1:5" ht="14.65" thickTop="1" x14ac:dyDescent="0.45">
      <c r="B59" s="2">
        <f>SUM(B16:B58)</f>
        <v>6031</v>
      </c>
      <c r="C59" s="3">
        <f>ROUND(B59/B$62,3)</f>
        <v>0.68500000000000005</v>
      </c>
      <c r="D59" s="3"/>
      <c r="E59" s="2">
        <f>SUM(E16:E58)</f>
        <v>0</v>
      </c>
    </row>
    <row r="61" spans="1:5" ht="14.65" thickBot="1" x14ac:dyDescent="0.5">
      <c r="A61" t="s">
        <v>53</v>
      </c>
      <c r="B61">
        <f>B13</f>
        <v>2768</v>
      </c>
      <c r="E61">
        <f>E13</f>
        <v>0</v>
      </c>
    </row>
    <row r="62" spans="1:5" ht="14.65" thickTop="1" x14ac:dyDescent="0.45">
      <c r="A62" t="s">
        <v>54</v>
      </c>
      <c r="B62" s="2">
        <f>B59+B61</f>
        <v>8799</v>
      </c>
      <c r="C62" s="3">
        <f>ROUND(B62/B$62,3)</f>
        <v>1</v>
      </c>
      <c r="D62" s="3"/>
      <c r="E62" s="2">
        <f>E59+E61</f>
        <v>0</v>
      </c>
    </row>
    <row r="64" spans="1:5" x14ac:dyDescent="0.45">
      <c r="A64" t="s">
        <v>55</v>
      </c>
      <c r="B64">
        <v>64</v>
      </c>
      <c r="E64">
        <v>64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van Diepen</dc:creator>
  <cp:lastModifiedBy>Peter van Diepen</cp:lastModifiedBy>
  <dcterms:created xsi:type="dcterms:W3CDTF">2024-10-31T15:41:12Z</dcterms:created>
  <dcterms:modified xsi:type="dcterms:W3CDTF">2024-12-24T17:06:43Z</dcterms:modified>
</cp:coreProperties>
</file>